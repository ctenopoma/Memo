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_space\Memo\GraphRAG\"/>
    </mc:Choice>
  </mc:AlternateContent>
  <xr:revisionPtr revIDLastSave="0" documentId="13_ncr:1_{F519FA5C-536E-4D64-A7E3-D445CAA59785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要件" sheetId="2" r:id="rId1"/>
    <sheet name="詳細要件" sheetId="1" r:id="rId2"/>
  </sheets>
  <definedNames>
    <definedName name="_xlnm._FilterDatabase" localSheetId="1" hidden="1">詳細要件!$A$1:$G$1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3" i="2"/>
</calcChain>
</file>

<file path=xl/sharedStrings.xml><?xml version="1.0" encoding="utf-8"?>
<sst xmlns="http://schemas.openxmlformats.org/spreadsheetml/2006/main" count="209" uniqueCount="117">
  <si>
    <t>テキスト抽出</t>
  </si>
  <si>
    <t>高</t>
  </si>
  <si>
    <t>テキスト</t>
  </si>
  <si>
    <t>テキストデータをストリングに変換</t>
  </si>
  <si>
    <t>Markdown</t>
  </si>
  <si>
    <t>Word</t>
  </si>
  <si>
    <t>エクセル</t>
  </si>
  <si>
    <t>エクセルのテキストデータをストリングに変換</t>
  </si>
  <si>
    <t>PDF</t>
  </si>
  <si>
    <t>低</t>
  </si>
  <si>
    <t>表抽出</t>
  </si>
  <si>
    <t>不明</t>
  </si>
  <si>
    <t>エクセルの表をマークダウン形式のストリングに変換</t>
  </si>
  <si>
    <t>図抽出</t>
  </si>
  <si>
    <t>Markdownの図をVLMでマークダウン形式のストリングに変換</t>
  </si>
  <si>
    <t>Wordの図をVLMでマークダウン形式のストリングに変換</t>
  </si>
  <si>
    <t>PDFの図をVLMでマークダウン形式のストリングに変換</t>
  </si>
  <si>
    <t>Markdownをストリングに変換</t>
  </si>
  <si>
    <t>Wordのテキストデータをストリングに変換</t>
  </si>
  <si>
    <t>PDFをOCRでテキスト抽出してストリングに変換</t>
  </si>
  <si>
    <t>PDFをVLMでテキスト抽出してストリングに変換</t>
  </si>
  <si>
    <t>OCRの手法を選択できる</t>
  </si>
  <si>
    <t>Wordの表をマークダウン形式のストリングに変換</t>
  </si>
  <si>
    <t>PDFの表をVLMでマークダウン形式のストリングに変換</t>
  </si>
  <si>
    <t>レイヤー</t>
    <phoneticPr fontId="1"/>
  </si>
  <si>
    <t>コンテナ</t>
    <phoneticPr fontId="1"/>
  </si>
  <si>
    <t>優先度</t>
    <rPh sb="0" eb="3">
      <t>ユウセンド</t>
    </rPh>
    <phoneticPr fontId="1"/>
  </si>
  <si>
    <t>大項目</t>
    <rPh sb="0" eb="3">
      <t>ダイコウモク</t>
    </rPh>
    <phoneticPr fontId="1"/>
  </si>
  <si>
    <t>中項目</t>
    <rPh sb="0" eb="3">
      <t>チュウコウモク</t>
    </rPh>
    <phoneticPr fontId="1"/>
  </si>
  <si>
    <t>小項目</t>
    <rPh sb="0" eb="3">
      <t>ショウコウモク</t>
    </rPh>
    <phoneticPr fontId="1"/>
  </si>
  <si>
    <t>状況</t>
    <rPh sb="0" eb="2">
      <t>ジョウキョウ</t>
    </rPh>
    <phoneticPr fontId="1"/>
  </si>
  <si>
    <t>完了</t>
    <rPh sb="0" eb="2">
      <t>カンリョウ</t>
    </rPh>
    <phoneticPr fontId="1"/>
  </si>
  <si>
    <t>データパライプライン層</t>
    <phoneticPr fontId="1"/>
  </si>
  <si>
    <t>中</t>
  </si>
  <si>
    <t>ベクトルRAGが実行できること</t>
    <phoneticPr fontId="1"/>
  </si>
  <si>
    <t>グラフRAGが実行できること</t>
    <phoneticPr fontId="1"/>
  </si>
  <si>
    <t>PDFがRAGに登録できること</t>
    <phoneticPr fontId="1"/>
  </si>
  <si>
    <t>エクセルがRAGに登録できること</t>
    <phoneticPr fontId="1"/>
  </si>
  <si>
    <t>WordがRAGに登録できること</t>
    <phoneticPr fontId="1"/>
  </si>
  <si>
    <t>テキストがRAGに登録できること</t>
    <phoneticPr fontId="1"/>
  </si>
  <si>
    <t>MarkdownがRAGに登録できること</t>
    <phoneticPr fontId="1"/>
  </si>
  <si>
    <t>チャンキング</t>
  </si>
  <si>
    <t>チャンク分割</t>
  </si>
  <si>
    <t>基本分割</t>
  </si>
  <si>
    <t>文字数ベース（Overlapあり）でテキストを分割</t>
  </si>
  <si>
    <t>意味的分割</t>
  </si>
  <si>
    <t>Markdownのヘッダー（H1, H2等）ベースでの分割</t>
  </si>
  <si>
    <t>エンベディング/LLMを用いたセマンティックチャンキング</t>
  </si>
  <si>
    <t>グラフ生成</t>
  </si>
  <si>
    <t>情報抽出</t>
  </si>
  <si>
    <t>エンティティ抽出</t>
  </si>
  <si>
    <t>LLMを用いてテキストからノード（エンティティ）を抽出</t>
  </si>
  <si>
    <t>関係性抽出</t>
  </si>
  <si>
    <t>LLMを用いてノード間のエッジ（関係性）を抽出</t>
  </si>
  <si>
    <t>正規化</t>
  </si>
  <si>
    <t>同義語や表記揺れのエンティティを名寄せ・統合</t>
  </si>
  <si>
    <t>DB操作 (Ingest)</t>
  </si>
  <si>
    <t>ベクトルDB登録</t>
  </si>
  <si>
    <t>エンベディング</t>
  </si>
  <si>
    <t>チャンクをエンベディングモデルでベクトル化</t>
  </si>
  <si>
    <t>Qdrant登録</t>
  </si>
  <si>
    <t>ベクトルデータとメタデータをQdrantにUpsert</t>
  </si>
  <si>
    <t>グラフDB登録</t>
  </si>
  <si>
    <t>ノード作成</t>
  </si>
  <si>
    <t>抽出したエンティティをNeo4jにノードとして登録</t>
  </si>
  <si>
    <t>エッジ作成</t>
  </si>
  <si>
    <t>抽出した関係性をNeo4jにエッジとして登録</t>
  </si>
  <si>
    <t>Retrieval層</t>
  </si>
  <si>
    <t>Retriever</t>
  </si>
  <si>
    <t>ベクトル検索</t>
  </si>
  <si>
    <t>Qdrant検索</t>
  </si>
  <si>
    <t>ユーザーのQueryをベクトル化し、Qdrantから類似検索</t>
  </si>
  <si>
    <t>グラフ検索</t>
  </si>
  <si>
    <t>Text2Cypher</t>
  </si>
  <si>
    <t>ユーザーのQueryをLLMでCypherクエリ（Neo4j用）に変換</t>
  </si>
  <si>
    <t>Neo4j検索</t>
  </si>
  <si>
    <t>Cypherクエリを実行し、グラフから関係性データを取得</t>
  </si>
  <si>
    <t>検索精度向上</t>
  </si>
  <si>
    <t>ハイブリッド検索</t>
  </si>
  <si>
    <t>キーワード検索（BM25等）とベクトル検索の組み合わせ</t>
  </si>
  <si>
    <t>Reranking</t>
  </si>
  <si>
    <t>取得した複数チャンクをRerankモデルで再スコアリングし並び替え</t>
  </si>
  <si>
    <t>Agent層</t>
  </si>
  <si>
    <t>Agent selector</t>
  </si>
  <si>
    <t>ルーティング</t>
  </si>
  <si>
    <t>意図分類</t>
  </si>
  <si>
    <t>ユーザーのQueryから「ただの会話」か「検索が必要」か判定</t>
  </si>
  <si>
    <t>振り分け</t>
  </si>
  <si>
    <t>判定結果に基づき、チャットAgentかグラフRAG Agentへ処理を渡す</t>
  </si>
  <si>
    <t>チャットAgent</t>
  </si>
  <si>
    <t>対話処理</t>
  </si>
  <si>
    <t>応答生成</t>
  </si>
  <si>
    <t>検索を伴わない日常的な会話や挨拶に対するLLM応答</t>
  </si>
  <si>
    <t>メモリ管理</t>
  </si>
  <si>
    <t>過去の会話履歴を保持し、文脈を踏まえた応答を可能にする</t>
  </si>
  <si>
    <t>グラフRAG Agent</t>
  </si>
  <si>
    <t>RAG推論</t>
  </si>
  <si>
    <t>ツール呼び出し</t>
  </si>
  <si>
    <t>必要に応じてRetrieval層の機能（ベクトル検索/グラフ検索）を実行</t>
  </si>
  <si>
    <t>回答生成</t>
  </si>
  <si>
    <t>検索結果（コンテキスト）を統合し、Queryに対する最終回答を生成</t>
  </si>
  <si>
    <t>リファレンス提示</t>
  </si>
  <si>
    <t>回答の根拠となったドキュメントやノード情報（引用元）を明記する</t>
  </si>
  <si>
    <t>要件の整理</t>
    <rPh sb="0" eb="2">
      <t>ヨウケン</t>
    </rPh>
    <rPh sb="3" eb="5">
      <t>セイリ</t>
    </rPh>
    <phoneticPr fontId="1"/>
  </si>
  <si>
    <t>高</t>
    <rPh sb="0" eb="1">
      <t>コウ</t>
    </rPh>
    <phoneticPr fontId="1"/>
  </si>
  <si>
    <t>中</t>
    <rPh sb="0" eb="1">
      <t>チュウ</t>
    </rPh>
    <phoneticPr fontId="1"/>
  </si>
  <si>
    <t>低</t>
    <rPh sb="0" eb="1">
      <t>テイ</t>
    </rPh>
    <phoneticPr fontId="1"/>
  </si>
  <si>
    <t>完了率</t>
    <rPh sb="0" eb="2">
      <t>カンリョウ</t>
    </rPh>
    <rPh sb="2" eb="3">
      <t>リツ</t>
    </rPh>
    <phoneticPr fontId="1"/>
  </si>
  <si>
    <t>共通機能</t>
    <rPh sb="0" eb="4">
      <t>キョウツウキノウ</t>
    </rPh>
    <phoneticPr fontId="1"/>
  </si>
  <si>
    <t>インターフェース</t>
    <phoneticPr fontId="1"/>
  </si>
  <si>
    <t>LLM入力</t>
    <rPh sb="3" eb="5">
      <t>ニュウリョク</t>
    </rPh>
    <phoneticPr fontId="1"/>
  </si>
  <si>
    <t>各機能で共通利用可能なLLMの利用情報I/Fを設計する
※ 他機能で活用できるように工夫する。</t>
    <rPh sb="0" eb="3">
      <t>カクキノウ</t>
    </rPh>
    <rPh sb="4" eb="10">
      <t>キョウツウリヨウカノウ</t>
    </rPh>
    <rPh sb="15" eb="19">
      <t>リヨウジョウホウ</t>
    </rPh>
    <rPh sb="23" eb="25">
      <t>セッケイ</t>
    </rPh>
    <rPh sb="30" eb="33">
      <t>ホカキノウ</t>
    </rPh>
    <rPh sb="34" eb="36">
      <t>カツヨウ</t>
    </rPh>
    <rPh sb="42" eb="44">
      <t>クフウ</t>
    </rPh>
    <phoneticPr fontId="1"/>
  </si>
  <si>
    <t>I/F設計</t>
    <rPh sb="3" eb="5">
      <t>セッケイ</t>
    </rPh>
    <phoneticPr fontId="1"/>
  </si>
  <si>
    <t>入力</t>
    <rPh sb="0" eb="2">
      <t>ニュウリョク</t>
    </rPh>
    <phoneticPr fontId="1"/>
  </si>
  <si>
    <t>出力</t>
    <rPh sb="0" eb="2">
      <t>シュツリョク</t>
    </rPh>
    <phoneticPr fontId="1"/>
  </si>
  <si>
    <t>入力I/F設計</t>
    <rPh sb="0" eb="2">
      <t>ニュウリョク</t>
    </rPh>
    <rPh sb="5" eb="7">
      <t>セッケイ</t>
    </rPh>
    <phoneticPr fontId="1"/>
  </si>
  <si>
    <t>出力I/F設計</t>
    <rPh sb="0" eb="2">
      <t>シュツリョク</t>
    </rPh>
    <rPh sb="5" eb="7">
      <t>セッケイ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</si>
</sst>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9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2">
    <cellStyle name="パーセント" xfId="1" builtinId="5"/>
    <cellStyle name="標準" xfId="0" builtinId="0"/>
  </cellStyles>
  <dxfs count="5"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FFB3B3"/>
        </patternFill>
      </fill>
    </dxf>
    <dxf>
      <fill>
        <patternFill>
          <bgColor rgb="FFD1B2E8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D1B2E8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B43D-50DA-49F2-B721-3C12FB7D223F}">
  <dimension ref="A1:F8"/>
  <sheetViews>
    <sheetView workbookViewId="0">
      <selection activeCell="F13" sqref="F13"/>
    </sheetView>
  </sheetViews>
  <sheetFormatPr defaultRowHeight="17.649999999999999"/>
  <cols>
    <col min="1" max="1" width="2" bestFit="1" customWidth="1"/>
    <col min="2" max="2" width="31" bestFit="1" customWidth="1"/>
    <col min="5" max="5" width="9" style="1"/>
    <col min="6" max="6" width="28.375" style="1" customWidth="1"/>
  </cols>
  <sheetData>
    <row r="1" spans="1:6">
      <c r="A1" t="s">
        <v>103</v>
      </c>
    </row>
    <row r="2" spans="1:6">
      <c r="A2">
        <v>1</v>
      </c>
      <c r="B2" t="s">
        <v>34</v>
      </c>
      <c r="E2" s="2" t="s">
        <v>26</v>
      </c>
      <c r="F2" s="2" t="s">
        <v>107</v>
      </c>
    </row>
    <row r="3" spans="1:6">
      <c r="A3">
        <v>2</v>
      </c>
      <c r="B3" t="s">
        <v>35</v>
      </c>
      <c r="E3" s="3" t="s">
        <v>104</v>
      </c>
      <c r="F3" s="5">
        <f>COUNTIFS(詳細要件!D:D,E3,詳細要件!C:C,"済") / COUNTIFS(詳細要件!D:D,E3)</f>
        <v>0</v>
      </c>
    </row>
    <row r="4" spans="1:6">
      <c r="A4">
        <v>3</v>
      </c>
      <c r="B4" t="s">
        <v>36</v>
      </c>
      <c r="E4" s="3" t="s">
        <v>105</v>
      </c>
      <c r="F4" s="5">
        <f>COUNTIFS(詳細要件!D:D,E4,詳細要件!C:C,"済") / COUNTIFS(詳細要件!D:D,E4)</f>
        <v>0</v>
      </c>
    </row>
    <row r="5" spans="1:6">
      <c r="A5">
        <v>4</v>
      </c>
      <c r="B5" t="s">
        <v>37</v>
      </c>
      <c r="E5" s="3" t="s">
        <v>106</v>
      </c>
      <c r="F5" s="5">
        <f>COUNTIFS(詳細要件!D:D,E5,詳細要件!C:C,"済") / COUNTIFS(詳細要件!D:D,E5)</f>
        <v>0</v>
      </c>
    </row>
    <row r="6" spans="1:6">
      <c r="A6">
        <v>5</v>
      </c>
      <c r="B6" t="s">
        <v>38</v>
      </c>
    </row>
    <row r="7" spans="1:6">
      <c r="A7">
        <v>6</v>
      </c>
      <c r="B7" t="s">
        <v>39</v>
      </c>
    </row>
    <row r="8" spans="1:6">
      <c r="A8">
        <v>7</v>
      </c>
      <c r="B8" t="s">
        <v>40</v>
      </c>
    </row>
  </sheetData>
  <phoneticPr fontId="1"/>
  <conditionalFormatting sqref="F3:F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{807179BD-6704-48EB-8817-F36A2DB3AE95}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7179BD-6704-48EB-8817-F36A2DB3AE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F3:F5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F29" sqref="F29"/>
    </sheetView>
  </sheetViews>
  <sheetFormatPr defaultRowHeight="17.649999999999999"/>
  <cols>
    <col min="1" max="1" width="28.1875" style="3" customWidth="1"/>
    <col min="2" max="2" width="15.75" style="3" bestFit="1" customWidth="1"/>
    <col min="3" max="3" width="12" style="3" customWidth="1"/>
    <col min="4" max="4" width="8.5" style="3" bestFit="1" customWidth="1"/>
    <col min="5" max="5" width="17.625" style="4" customWidth="1"/>
    <col min="6" max="6" width="17.1875" style="4" customWidth="1"/>
    <col min="7" max="7" width="59.75" style="4" bestFit="1" customWidth="1"/>
    <col min="8" max="8" width="56.75" style="4" customWidth="1"/>
    <col min="9" max="16384" width="9" style="4"/>
  </cols>
  <sheetData>
    <row r="1" spans="1:8" s="2" customFormat="1">
      <c r="A1" s="2" t="s">
        <v>24</v>
      </c>
      <c r="B1" s="2" t="s">
        <v>25</v>
      </c>
      <c r="C1" s="2" t="s">
        <v>31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</row>
    <row r="2" spans="1:8">
      <c r="A2" s="3" t="s">
        <v>32</v>
      </c>
      <c r="B2" s="3" t="s">
        <v>0</v>
      </c>
      <c r="D2" s="3" t="s">
        <v>1</v>
      </c>
      <c r="E2" s="4" t="s">
        <v>0</v>
      </c>
      <c r="F2" s="4" t="s">
        <v>2</v>
      </c>
      <c r="G2" s="4" t="s">
        <v>3</v>
      </c>
    </row>
    <row r="3" spans="1:8">
      <c r="D3" s="3" t="s">
        <v>1</v>
      </c>
      <c r="F3" s="4" t="s">
        <v>4</v>
      </c>
      <c r="G3" s="4" t="s">
        <v>17</v>
      </c>
    </row>
    <row r="4" spans="1:8">
      <c r="D4" s="3" t="s">
        <v>33</v>
      </c>
      <c r="F4" s="4" t="s">
        <v>5</v>
      </c>
      <c r="G4" s="4" t="s">
        <v>18</v>
      </c>
    </row>
    <row r="5" spans="1:8">
      <c r="D5" s="3" t="s">
        <v>33</v>
      </c>
      <c r="F5" s="4" t="s">
        <v>6</v>
      </c>
      <c r="G5" s="4" t="s">
        <v>7</v>
      </c>
    </row>
    <row r="6" spans="1:8">
      <c r="D6" s="3" t="s">
        <v>1</v>
      </c>
      <c r="F6" s="4" t="s">
        <v>8</v>
      </c>
      <c r="G6" s="4" t="s">
        <v>19</v>
      </c>
    </row>
    <row r="7" spans="1:8">
      <c r="D7" s="3" t="s">
        <v>1</v>
      </c>
      <c r="G7" s="4" t="s">
        <v>20</v>
      </c>
    </row>
    <row r="8" spans="1:8">
      <c r="D8" s="3" t="s">
        <v>9</v>
      </c>
      <c r="G8" s="4" t="s">
        <v>21</v>
      </c>
    </row>
    <row r="9" spans="1:8">
      <c r="D9" s="3" t="s">
        <v>33</v>
      </c>
      <c r="E9" s="4" t="s">
        <v>10</v>
      </c>
      <c r="F9" s="4" t="s">
        <v>5</v>
      </c>
      <c r="G9" s="4" t="s">
        <v>22</v>
      </c>
    </row>
    <row r="10" spans="1:8">
      <c r="D10" s="3" t="s">
        <v>11</v>
      </c>
      <c r="F10" s="4" t="s">
        <v>6</v>
      </c>
      <c r="G10" s="4" t="s">
        <v>12</v>
      </c>
    </row>
    <row r="11" spans="1:8">
      <c r="D11" s="3" t="s">
        <v>1</v>
      </c>
      <c r="F11" s="4" t="s">
        <v>8</v>
      </c>
      <c r="G11" s="4" t="s">
        <v>23</v>
      </c>
    </row>
    <row r="12" spans="1:8">
      <c r="D12" s="3" t="s">
        <v>9</v>
      </c>
      <c r="E12" s="4" t="s">
        <v>13</v>
      </c>
      <c r="F12" s="4" t="s">
        <v>4</v>
      </c>
      <c r="G12" s="4" t="s">
        <v>14</v>
      </c>
    </row>
    <row r="13" spans="1:8">
      <c r="D13" s="3" t="s">
        <v>9</v>
      </c>
      <c r="F13" s="4" t="s">
        <v>5</v>
      </c>
      <c r="G13" s="4" t="s">
        <v>15</v>
      </c>
    </row>
    <row r="14" spans="1:8">
      <c r="D14" s="3" t="s">
        <v>9</v>
      </c>
      <c r="F14" s="4" t="s">
        <v>8</v>
      </c>
      <c r="G14" s="4" t="s">
        <v>16</v>
      </c>
    </row>
    <row r="15" spans="1:8">
      <c r="D15" s="3" t="s">
        <v>1</v>
      </c>
      <c r="E15" s="4" t="s">
        <v>112</v>
      </c>
      <c r="F15" s="4" t="s">
        <v>113</v>
      </c>
      <c r="G15" s="4" t="s">
        <v>115</v>
      </c>
    </row>
    <row r="16" spans="1:8">
      <c r="D16" s="3" t="s">
        <v>1</v>
      </c>
      <c r="F16" s="4" t="s">
        <v>114</v>
      </c>
      <c r="G16" s="4" t="s">
        <v>116</v>
      </c>
    </row>
    <row r="18" spans="2:7">
      <c r="B18" s="3" t="s">
        <v>41</v>
      </c>
      <c r="D18" s="3" t="s">
        <v>1</v>
      </c>
      <c r="E18" s="4" t="s">
        <v>42</v>
      </c>
      <c r="F18" s="4" t="s">
        <v>43</v>
      </c>
      <c r="G18" s="4" t="s">
        <v>44</v>
      </c>
    </row>
    <row r="19" spans="2:7">
      <c r="D19" s="3" t="s">
        <v>33</v>
      </c>
      <c r="F19" s="4" t="s">
        <v>45</v>
      </c>
      <c r="G19" s="4" t="s">
        <v>46</v>
      </c>
    </row>
    <row r="20" spans="2:7">
      <c r="D20" s="3" t="s">
        <v>9</v>
      </c>
      <c r="F20" s="4" t="s">
        <v>45</v>
      </c>
      <c r="G20" s="4" t="s">
        <v>47</v>
      </c>
    </row>
    <row r="21" spans="2:7">
      <c r="D21" s="3" t="s">
        <v>1</v>
      </c>
      <c r="E21" s="4" t="s">
        <v>112</v>
      </c>
      <c r="F21" s="4" t="s">
        <v>113</v>
      </c>
      <c r="G21" s="4" t="s">
        <v>115</v>
      </c>
    </row>
    <row r="22" spans="2:7">
      <c r="D22" s="3" t="s">
        <v>1</v>
      </c>
      <c r="F22" s="4" t="s">
        <v>114</v>
      </c>
      <c r="G22" s="4" t="s">
        <v>116</v>
      </c>
    </row>
    <row r="24" spans="2:7">
      <c r="B24" s="3" t="s">
        <v>48</v>
      </c>
      <c r="D24" s="3" t="s">
        <v>1</v>
      </c>
      <c r="E24" s="4" t="s">
        <v>49</v>
      </c>
      <c r="F24" s="4" t="s">
        <v>50</v>
      </c>
      <c r="G24" s="4" t="s">
        <v>51</v>
      </c>
    </row>
    <row r="25" spans="2:7">
      <c r="D25" s="3" t="s">
        <v>1</v>
      </c>
      <c r="F25" s="4" t="s">
        <v>52</v>
      </c>
      <c r="G25" s="4" t="s">
        <v>53</v>
      </c>
    </row>
    <row r="26" spans="2:7">
      <c r="D26" s="3" t="s">
        <v>33</v>
      </c>
      <c r="F26" s="4" t="s">
        <v>54</v>
      </c>
      <c r="G26" s="4" t="s">
        <v>55</v>
      </c>
    </row>
    <row r="27" spans="2:7">
      <c r="D27" s="3" t="s">
        <v>1</v>
      </c>
      <c r="E27" s="4" t="s">
        <v>112</v>
      </c>
      <c r="F27" s="4" t="s">
        <v>113</v>
      </c>
      <c r="G27" s="4" t="s">
        <v>115</v>
      </c>
    </row>
    <row r="28" spans="2:7">
      <c r="D28" s="3" t="s">
        <v>1</v>
      </c>
      <c r="F28" s="4" t="s">
        <v>114</v>
      </c>
      <c r="G28" s="4" t="s">
        <v>116</v>
      </c>
    </row>
    <row r="30" spans="2:7">
      <c r="B30" s="3" t="s">
        <v>56</v>
      </c>
      <c r="D30" s="3" t="s">
        <v>1</v>
      </c>
      <c r="E30" s="4" t="s">
        <v>57</v>
      </c>
      <c r="F30" s="4" t="s">
        <v>58</v>
      </c>
      <c r="G30" s="4" t="s">
        <v>59</v>
      </c>
    </row>
    <row r="31" spans="2:7">
      <c r="D31" s="3" t="s">
        <v>1</v>
      </c>
      <c r="F31" s="4" t="s">
        <v>60</v>
      </c>
      <c r="G31" s="4" t="s">
        <v>61</v>
      </c>
    </row>
    <row r="32" spans="2:7">
      <c r="D32" s="3" t="s">
        <v>1</v>
      </c>
      <c r="E32" s="4" t="s">
        <v>62</v>
      </c>
      <c r="F32" s="4" t="s">
        <v>63</v>
      </c>
      <c r="G32" s="4" t="s">
        <v>64</v>
      </c>
    </row>
    <row r="33" spans="1:7">
      <c r="D33" s="3" t="s">
        <v>1</v>
      </c>
      <c r="F33" s="4" t="s">
        <v>65</v>
      </c>
      <c r="G33" s="4" t="s">
        <v>66</v>
      </c>
    </row>
    <row r="34" spans="1:7">
      <c r="D34" s="3" t="s">
        <v>1</v>
      </c>
      <c r="E34" s="4" t="s">
        <v>112</v>
      </c>
      <c r="F34" s="4" t="s">
        <v>113</v>
      </c>
      <c r="G34" s="4" t="s">
        <v>115</v>
      </c>
    </row>
    <row r="35" spans="1:7">
      <c r="D35" s="3" t="s">
        <v>1</v>
      </c>
      <c r="F35" s="4" t="s">
        <v>114</v>
      </c>
      <c r="G35" s="4" t="s">
        <v>116</v>
      </c>
    </row>
    <row r="37" spans="1:7">
      <c r="A37" s="3" t="s">
        <v>67</v>
      </c>
      <c r="B37" s="3" t="s">
        <v>68</v>
      </c>
      <c r="D37" s="3" t="s">
        <v>1</v>
      </c>
      <c r="E37" s="4" t="s">
        <v>69</v>
      </c>
      <c r="F37" s="4" t="s">
        <v>70</v>
      </c>
      <c r="G37" s="4" t="s">
        <v>71</v>
      </c>
    </row>
    <row r="38" spans="1:7">
      <c r="D38" s="3" t="s">
        <v>1</v>
      </c>
      <c r="E38" s="4" t="s">
        <v>72</v>
      </c>
      <c r="F38" s="4" t="s">
        <v>73</v>
      </c>
      <c r="G38" s="4" t="s">
        <v>74</v>
      </c>
    </row>
    <row r="39" spans="1:7">
      <c r="D39" s="3" t="s">
        <v>1</v>
      </c>
      <c r="F39" s="4" t="s">
        <v>75</v>
      </c>
      <c r="G39" s="4" t="s">
        <v>76</v>
      </c>
    </row>
    <row r="40" spans="1:7">
      <c r="D40" s="3" t="s">
        <v>33</v>
      </c>
      <c r="E40" s="4" t="s">
        <v>77</v>
      </c>
      <c r="F40" s="4" t="s">
        <v>78</v>
      </c>
      <c r="G40" s="4" t="s">
        <v>79</v>
      </c>
    </row>
    <row r="41" spans="1:7">
      <c r="D41" s="3" t="s">
        <v>33</v>
      </c>
      <c r="F41" s="4" t="s">
        <v>80</v>
      </c>
      <c r="G41" s="4" t="s">
        <v>81</v>
      </c>
    </row>
    <row r="42" spans="1:7">
      <c r="D42" s="3" t="s">
        <v>1</v>
      </c>
      <c r="E42" s="4" t="s">
        <v>112</v>
      </c>
      <c r="F42" s="4" t="s">
        <v>113</v>
      </c>
      <c r="G42" s="4" t="s">
        <v>115</v>
      </c>
    </row>
    <row r="43" spans="1:7">
      <c r="D43" s="3" t="s">
        <v>1</v>
      </c>
      <c r="F43" s="4" t="s">
        <v>114</v>
      </c>
      <c r="G43" s="4" t="s">
        <v>116</v>
      </c>
    </row>
    <row r="46" spans="1:7">
      <c r="A46" s="3" t="s">
        <v>82</v>
      </c>
      <c r="B46" s="3" t="s">
        <v>83</v>
      </c>
      <c r="D46" s="3" t="s">
        <v>9</v>
      </c>
      <c r="E46" s="4" t="s">
        <v>84</v>
      </c>
      <c r="F46" s="4" t="s">
        <v>85</v>
      </c>
      <c r="G46" s="4" t="s">
        <v>86</v>
      </c>
    </row>
    <row r="47" spans="1:7">
      <c r="D47" s="3" t="s">
        <v>9</v>
      </c>
      <c r="F47" s="4" t="s">
        <v>87</v>
      </c>
      <c r="G47" s="4" t="s">
        <v>88</v>
      </c>
    </row>
    <row r="48" spans="1:7">
      <c r="D48" s="3" t="s">
        <v>9</v>
      </c>
      <c r="E48" s="4" t="s">
        <v>112</v>
      </c>
      <c r="F48" s="4" t="s">
        <v>113</v>
      </c>
      <c r="G48" s="4" t="s">
        <v>115</v>
      </c>
    </row>
    <row r="49" spans="1:7">
      <c r="D49" s="3" t="s">
        <v>9</v>
      </c>
      <c r="F49" s="4" t="s">
        <v>114</v>
      </c>
      <c r="G49" s="4" t="s">
        <v>116</v>
      </c>
    </row>
    <row r="50" spans="1:7">
      <c r="B50" s="3" t="s">
        <v>89</v>
      </c>
      <c r="D50" s="3" t="s">
        <v>33</v>
      </c>
      <c r="E50" s="4" t="s">
        <v>90</v>
      </c>
      <c r="F50" s="4" t="s">
        <v>91</v>
      </c>
      <c r="G50" s="4" t="s">
        <v>92</v>
      </c>
    </row>
    <row r="51" spans="1:7">
      <c r="D51" s="3" t="s">
        <v>33</v>
      </c>
      <c r="F51" s="4" t="s">
        <v>93</v>
      </c>
      <c r="G51" s="4" t="s">
        <v>94</v>
      </c>
    </row>
    <row r="52" spans="1:7">
      <c r="D52" s="3" t="s">
        <v>33</v>
      </c>
      <c r="E52" s="4" t="s">
        <v>112</v>
      </c>
      <c r="F52" s="4" t="s">
        <v>113</v>
      </c>
      <c r="G52" s="4" t="s">
        <v>115</v>
      </c>
    </row>
    <row r="53" spans="1:7">
      <c r="D53" s="3" t="s">
        <v>33</v>
      </c>
      <c r="F53" s="4" t="s">
        <v>114</v>
      </c>
      <c r="G53" s="4" t="s">
        <v>116</v>
      </c>
    </row>
    <row r="54" spans="1:7">
      <c r="B54" s="3" t="s">
        <v>95</v>
      </c>
      <c r="D54" s="3" t="s">
        <v>1</v>
      </c>
      <c r="E54" s="4" t="s">
        <v>96</v>
      </c>
      <c r="F54" s="4" t="s">
        <v>97</v>
      </c>
      <c r="G54" s="4" t="s">
        <v>98</v>
      </c>
    </row>
    <row r="55" spans="1:7">
      <c r="D55" s="3" t="s">
        <v>1</v>
      </c>
      <c r="F55" s="4" t="s">
        <v>99</v>
      </c>
      <c r="G55" s="4" t="s">
        <v>100</v>
      </c>
    </row>
    <row r="56" spans="1:7">
      <c r="D56" s="3" t="s">
        <v>33</v>
      </c>
      <c r="F56" s="4" t="s">
        <v>101</v>
      </c>
      <c r="G56" s="4" t="s">
        <v>102</v>
      </c>
    </row>
    <row r="57" spans="1:7">
      <c r="D57" s="3" t="s">
        <v>1</v>
      </c>
      <c r="E57" s="4" t="s">
        <v>112</v>
      </c>
      <c r="F57" s="4" t="s">
        <v>113</v>
      </c>
      <c r="G57" s="4" t="s">
        <v>115</v>
      </c>
    </row>
    <row r="58" spans="1:7">
      <c r="D58" s="3" t="s">
        <v>1</v>
      </c>
      <c r="F58" s="4" t="s">
        <v>114</v>
      </c>
      <c r="G58" s="4" t="s">
        <v>116</v>
      </c>
    </row>
    <row r="60" spans="1:7" s="7" customFormat="1" ht="35.25">
      <c r="A60" s="6" t="s">
        <v>108</v>
      </c>
      <c r="B60" s="6"/>
      <c r="C60" s="6"/>
      <c r="D60" s="6" t="s">
        <v>1</v>
      </c>
      <c r="E60" s="7" t="s">
        <v>109</v>
      </c>
      <c r="F60" s="7" t="s">
        <v>110</v>
      </c>
      <c r="G60" s="8" t="s">
        <v>111</v>
      </c>
    </row>
  </sheetData>
  <autoFilter ref="A1:G1" xr:uid="{00000000-0001-0000-0000-000000000000}"/>
  <phoneticPr fontId="1"/>
  <conditionalFormatting sqref="A2:XFD1048576">
    <cfRule type="expression" dxfId="4" priority="1">
      <formula>AND($C2&lt;&gt;"済",$D2="低")</formula>
    </cfRule>
    <cfRule type="expression" dxfId="3" priority="2">
      <formula>AND($C2&lt;&gt;"済",$D2="不明")</formula>
    </cfRule>
    <cfRule type="expression" dxfId="2" priority="3">
      <formula>AND($C2&lt;&gt;"済",$D2="高")</formula>
    </cfRule>
    <cfRule type="expression" dxfId="1" priority="4">
      <formula>$C2="済"</formula>
    </cfRule>
    <cfRule type="expression" dxfId="0" priority="5">
      <formula>AND($C2&lt;&gt;"済",$D2="中")</formula>
    </cfRule>
  </conditionalFormatting>
  <dataValidations count="2">
    <dataValidation type="list" allowBlank="1" showInputMessage="1" showErrorMessage="1" sqref="C2:C1048576" xr:uid="{B182C220-D24B-4AC5-B259-4853010F7681}">
      <formula1>"済"</formula1>
    </dataValidation>
    <dataValidation type="list" allowBlank="1" showInputMessage="1" showErrorMessage="1" sqref="D2:D1048576" xr:uid="{85C349CD-4D5E-460D-94BF-F141B9D705AE}">
      <formula1>"高,中,低,不明"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要件</vt:lpstr>
      <vt:lpstr>詳細要件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山田naoki</dc:creator>
  <cp:lastModifiedBy>naoki 山田</cp:lastModifiedBy>
  <dcterms:created xsi:type="dcterms:W3CDTF">2015-06-05T18:19:34Z</dcterms:created>
  <dcterms:modified xsi:type="dcterms:W3CDTF">2026-03-07T08:22:20Z</dcterms:modified>
</cp:coreProperties>
</file>